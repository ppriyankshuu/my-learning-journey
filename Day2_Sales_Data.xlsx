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test_practice\"/>
    </mc:Choice>
  </mc:AlternateContent>
  <xr:revisionPtr revIDLastSave="0" documentId="13_ncr:1_{4239DB68-AAFE-4BD9-A73F-052FCD54A7C7}" xr6:coauthVersionLast="47" xr6:coauthVersionMax="47" xr10:uidLastSave="{00000000-0000-0000-0000-000000000000}"/>
  <bookViews>
    <workbookView xWindow="6888" yWindow="0" windowWidth="16248" windowHeight="12336" xr2:uid="{3E787063-B8E9-4D18-B9E0-92328B8EC21A}"/>
  </bookViews>
  <sheets>
    <sheet name="Day2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" i="1"/>
  <c r="H2" i="1"/>
  <c r="H3" i="1"/>
  <c r="H4" i="1"/>
  <c r="H5" i="1"/>
  <c r="H6" i="1"/>
  <c r="H7" i="1"/>
  <c r="H8" i="1"/>
  <c r="H9" i="1"/>
  <c r="G2" i="1"/>
  <c r="J2" i="1" s="1"/>
  <c r="G3" i="1"/>
  <c r="J3" i="1" s="1"/>
  <c r="G4" i="1"/>
  <c r="J4" i="1" s="1"/>
  <c r="G5" i="1"/>
  <c r="G6" i="1"/>
  <c r="G7" i="1"/>
  <c r="G8" i="1"/>
  <c r="G9" i="1"/>
  <c r="I5" i="1" l="1"/>
  <c r="J5" i="1"/>
  <c r="I6" i="1"/>
  <c r="J6" i="1"/>
  <c r="I8" i="1"/>
  <c r="J8" i="1"/>
  <c r="I9" i="1"/>
  <c r="J9" i="1"/>
  <c r="I7" i="1"/>
  <c r="J7" i="1"/>
  <c r="I2" i="1"/>
  <c r="I3" i="1"/>
  <c r="I4" i="1"/>
</calcChain>
</file>

<file path=xl/sharedStrings.xml><?xml version="1.0" encoding="utf-8"?>
<sst xmlns="http://schemas.openxmlformats.org/spreadsheetml/2006/main" count="45" uniqueCount="32">
  <si>
    <t>Order_ID</t>
  </si>
  <si>
    <t>Customer_Name</t>
  </si>
  <si>
    <t>Region</t>
  </si>
  <si>
    <t>Product</t>
  </si>
  <si>
    <t>Unit_Price</t>
  </si>
  <si>
    <t>Quantity</t>
  </si>
  <si>
    <t>Rahul Sharma</t>
  </si>
  <si>
    <t>North</t>
  </si>
  <si>
    <t>Laptop</t>
  </si>
  <si>
    <t>Priya Patel</t>
  </si>
  <si>
    <t>South</t>
  </si>
  <si>
    <t>Phone</t>
  </si>
  <si>
    <t>Ananya Verma</t>
  </si>
  <si>
    <t>West</t>
  </si>
  <si>
    <t>Tablet</t>
  </si>
  <si>
    <t>Kavita Singh</t>
  </si>
  <si>
    <t>East</t>
  </si>
  <si>
    <t>Headphones</t>
  </si>
  <si>
    <t>Rohit Mehta</t>
  </si>
  <si>
    <t>Monitor</t>
  </si>
  <si>
    <t>Sneha Reddy</t>
  </si>
  <si>
    <t>Amit Kumar</t>
  </si>
  <si>
    <t>Pooja Joshi</t>
  </si>
  <si>
    <t>Total_Revenue</t>
  </si>
  <si>
    <t>Product_Ref</t>
  </si>
  <si>
    <t>Rate</t>
  </si>
  <si>
    <t>Commission_Rate</t>
  </si>
  <si>
    <t>Commission_Payout</t>
  </si>
  <si>
    <t>Deal_Type</t>
  </si>
  <si>
    <t>Number of Deals:</t>
  </si>
  <si>
    <t>Select Region: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</si>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</sst>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12" xfId="0" applyBorder="1"/>
    <xf numFmtId="0" fontId="0" fillId="0" borderId="13" xfId="0" applyBorder="1"/>
    <xf numFmtId="8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33" borderId="10" xfId="0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34D64-B19B-40B5-B46E-D9FA364146B6}" name="Table1" displayName="Table1" ref="A1:J9" totalsRowShown="0">
  <autoFilter ref="A1:J9" xr:uid="{76634D64-B19B-40B5-B46E-D9FA364146B6}"/>
  <tableColumns count="10">
    <tableColumn id="1" xr3:uid="{CA6839E6-F575-4BFD-8496-8ED5F9AD6689}" name="Order_ID"/>
    <tableColumn id="2" xr3:uid="{F6B7443E-E084-4EFC-9AD8-5176D04F0762}" name="Customer_Name"/>
    <tableColumn id="3" xr3:uid="{018E9E1B-6157-4B01-ACA5-9FD0CF7E7E3D}" name="Region"/>
    <tableColumn id="4" xr3:uid="{96467D86-9747-4384-BA59-A964DE94273D}" name="Product"/>
    <tableColumn id="5" xr3:uid="{D5938B77-7BCB-49EC-863B-050DC8E84470}" name="Unit_Price"/>
    <tableColumn id="6" xr3:uid="{9BF43E54-B699-4E9A-AA54-6D3092C92C96}" name="Quantity"/>
    <tableColumn id="7" xr3:uid="{CE15D880-0E8D-4898-A963-AB2A07BFFD01}" name="Total_Revenue" dataDxfId="4">
      <calculatedColumnFormula>Table1[[#This Row],[Unit_Price]]*Table1[[#This Row],[Quantity]]</calculatedColumnFormula>
    </tableColumn>
    <tableColumn id="8" xr3:uid="{4C2F3D01-C8C9-43C5-A716-8C3998AE9CE3}" name="Commission_Rate" dataDxfId="3">
      <calculatedColumnFormula>_xlfn.XLOOKUP(Table1[[#This Row],[Product]],$M$2:$M$6,$N$2:$N$6)</calculatedColumnFormula>
    </tableColumn>
    <tableColumn id="9" xr3:uid="{166A3A1B-6D52-4E66-826E-A4E4E0083E6A}" name="Commission_Payout" dataDxfId="2">
      <calculatedColumnFormula>Table1[[#This Row],[Total_Revenue]]*Table1[[#This Row],[Commission_Rate]]</calculatedColumnFormula>
    </tableColumn>
    <tableColumn id="10" xr3:uid="{F9CD51B0-5320-4057-A73E-F5C1E54D02E8}" name="Deal_Type" dataDxfId="1">
      <calculatedColumnFormula>IF(Table1[[#This Row],[Total_Revenue]]&gt;=100000,"High Value","Standard")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6945-C2A1-4D0E-927C-DA46BA29D2F2}">
  <dimension ref="A1:Q9"/>
  <sheetViews>
    <sheetView tabSelected="1" topLeftCell="I1" workbookViewId="0">
      <selection activeCell="K15" sqref="K15"/>
    </sheetView>
  </sheetViews>
  <sheetFormatPr defaultRowHeight="14.4" x14ac:dyDescent="0.3"/>
  <cols>
    <col min="1" max="1" width="10.21875" customWidth="1"/>
    <col min="2" max="2" width="16.77734375" customWidth="1"/>
    <col min="4" max="4" width="9.44140625" customWidth="1"/>
    <col min="5" max="5" width="11.44140625" customWidth="1"/>
    <col min="6" max="6" width="10" customWidth="1"/>
    <col min="7" max="7" width="15.109375" bestFit="1" customWidth="1"/>
    <col min="8" max="8" width="18.33203125" style="1" bestFit="1" customWidth="1"/>
    <col min="9" max="9" width="20.33203125" bestFit="1" customWidth="1"/>
    <col min="10" max="10" width="10.77734375" bestFit="1" customWidth="1"/>
    <col min="13" max="13" width="10.6640625" customWidth="1"/>
    <col min="16" max="16" width="15" bestFit="1" customWidth="1"/>
    <col min="17" max="17" width="12.109375" bestFit="1" customWidth="1"/>
    <col min="18" max="18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s="1" t="s">
        <v>26</v>
      </c>
      <c r="I1" t="s">
        <v>27</v>
      </c>
      <c r="J1" t="s">
        <v>28</v>
      </c>
      <c r="M1" t="s">
        <v>24</v>
      </c>
      <c r="N1" t="s">
        <v>25</v>
      </c>
      <c r="P1" s="7" t="s">
        <v>30</v>
      </c>
      <c r="Q1" s="8" t="s">
        <v>10</v>
      </c>
    </row>
    <row r="2" spans="1:17" x14ac:dyDescent="0.3">
      <c r="A2">
        <v>1001</v>
      </c>
      <c r="B2" t="s">
        <v>6</v>
      </c>
      <c r="C2" t="s">
        <v>7</v>
      </c>
      <c r="D2" t="s">
        <v>8</v>
      </c>
      <c r="E2">
        <v>75000</v>
      </c>
      <c r="F2">
        <v>2</v>
      </c>
      <c r="G2">
        <f>Table1[[#This Row],[Unit_Price]]*Table1[[#This Row],[Quantity]]</f>
        <v>150000</v>
      </c>
      <c r="H2" s="1">
        <f>_xlfn.XLOOKUP(Table1[[#This Row],[Product]],$M$2:$M$6,$N$2:$N$6)</f>
        <v>0.08</v>
      </c>
      <c r="I2">
        <f>Table1[[#This Row],[Total_Revenue]]*Table1[[#This Row],[Commission_Rate]]</f>
        <v>12000</v>
      </c>
      <c r="J2" t="str">
        <f>IF(Table1[[#This Row],[Total_Revenue]]&gt;=100000,"High Value","Standard")</f>
        <v>High Value</v>
      </c>
      <c r="M2" t="s">
        <v>8</v>
      </c>
      <c r="N2" s="1">
        <v>0.08</v>
      </c>
      <c r="P2" s="2"/>
      <c r="Q2" s="3"/>
    </row>
    <row r="3" spans="1:17" x14ac:dyDescent="0.3">
      <c r="A3">
        <v>1002</v>
      </c>
      <c r="B3" t="s">
        <v>9</v>
      </c>
      <c r="C3" t="s">
        <v>10</v>
      </c>
      <c r="D3" t="s">
        <v>11</v>
      </c>
      <c r="E3">
        <v>25000</v>
      </c>
      <c r="F3">
        <v>4</v>
      </c>
      <c r="G3">
        <f>Table1[[#This Row],[Unit_Price]]*Table1[[#This Row],[Quantity]]</f>
        <v>100000</v>
      </c>
      <c r="H3" s="1">
        <f>_xlfn.XLOOKUP(Table1[[#This Row],[Product]],$M$2:$M$6,$N$2:$N$6)</f>
        <v>0.05</v>
      </c>
      <c r="I3">
        <f>Table1[[#This Row],[Total_Revenue]]*Table1[[#This Row],[Commission_Rate]]</f>
        <v>5000</v>
      </c>
      <c r="J3" t="str">
        <f>IF(Table1[[#This Row],[Total_Revenue]]&gt;=100000,"High Value","Standard")</f>
        <v>High Value</v>
      </c>
      <c r="M3" t="s">
        <v>11</v>
      </c>
      <c r="N3" s="1">
        <v>0.05</v>
      </c>
      <c r="P3" s="2" t="s">
        <v>31</v>
      </c>
      <c r="Q3" s="4">
        <f>SUMIFS(Table1[Total_Revenue],Table1[Region],Q1)</f>
        <v>250000</v>
      </c>
    </row>
    <row r="4" spans="1:17" ht="15" thickBot="1" x14ac:dyDescent="0.35">
      <c r="A4">
        <v>1003</v>
      </c>
      <c r="B4" t="s">
        <v>12</v>
      </c>
      <c r="C4" t="s">
        <v>13</v>
      </c>
      <c r="D4" t="s">
        <v>14</v>
      </c>
      <c r="E4">
        <v>18000</v>
      </c>
      <c r="F4">
        <v>3</v>
      </c>
      <c r="G4">
        <f>Table1[[#This Row],[Unit_Price]]*Table1[[#This Row],[Quantity]]</f>
        <v>54000</v>
      </c>
      <c r="H4" s="1">
        <f>_xlfn.XLOOKUP(Table1[[#This Row],[Product]],$M$2:$M$6,$N$2:$N$6)</f>
        <v>0.06</v>
      </c>
      <c r="I4">
        <f>Table1[[#This Row],[Total_Revenue]]*Table1[[#This Row],[Commission_Rate]]</f>
        <v>3240</v>
      </c>
      <c r="J4" t="str">
        <f>IF(Table1[[#This Row],[Total_Revenue]]&gt;=100000,"High Value","Standard")</f>
        <v>Standard</v>
      </c>
      <c r="M4" t="s">
        <v>14</v>
      </c>
      <c r="N4" s="1">
        <v>0.06</v>
      </c>
      <c r="P4" s="5" t="s">
        <v>29</v>
      </c>
      <c r="Q4" s="6">
        <f>COUNTIFS(Table1[Region],Q1)</f>
        <v>2</v>
      </c>
    </row>
    <row r="5" spans="1:17" x14ac:dyDescent="0.3">
      <c r="A5">
        <v>1004</v>
      </c>
      <c r="B5" t="s">
        <v>15</v>
      </c>
      <c r="C5" t="s">
        <v>16</v>
      </c>
      <c r="D5" t="s">
        <v>17</v>
      </c>
      <c r="E5">
        <v>3000</v>
      </c>
      <c r="F5">
        <v>10</v>
      </c>
      <c r="G5">
        <f>Table1[[#This Row],[Unit_Price]]*Table1[[#This Row],[Quantity]]</f>
        <v>30000</v>
      </c>
      <c r="H5" s="1">
        <f>_xlfn.XLOOKUP(Table1[[#This Row],[Product]],$M$2:$M$6,$N$2:$N$6)</f>
        <v>0.12</v>
      </c>
      <c r="I5">
        <f>Table1[[#This Row],[Total_Revenue]]*Table1[[#This Row],[Commission_Rate]]</f>
        <v>3600</v>
      </c>
      <c r="J5" t="str">
        <f>IF(Table1[[#This Row],[Total_Revenue]]&gt;=100000,"High Value","Standard")</f>
        <v>Standard</v>
      </c>
      <c r="M5" t="s">
        <v>17</v>
      </c>
      <c r="N5" s="1">
        <v>0.12</v>
      </c>
    </row>
    <row r="6" spans="1:17" x14ac:dyDescent="0.3">
      <c r="A6">
        <v>1005</v>
      </c>
      <c r="B6" t="s">
        <v>18</v>
      </c>
      <c r="C6" t="s">
        <v>7</v>
      </c>
      <c r="D6" t="s">
        <v>19</v>
      </c>
      <c r="E6">
        <v>12000</v>
      </c>
      <c r="F6">
        <v>5</v>
      </c>
      <c r="G6">
        <f>Table1[[#This Row],[Unit_Price]]*Table1[[#This Row],[Quantity]]</f>
        <v>60000</v>
      </c>
      <c r="H6" s="1">
        <f>_xlfn.XLOOKUP(Table1[[#This Row],[Product]],$M$2:$M$6,$N$2:$N$6)</f>
        <v>0.1</v>
      </c>
      <c r="I6">
        <f>Table1[[#This Row],[Total_Revenue]]*Table1[[#This Row],[Commission_Rate]]</f>
        <v>6000</v>
      </c>
      <c r="J6" t="str">
        <f>IF(Table1[[#This Row],[Total_Revenue]]&gt;=100000,"High Value","Standard")</f>
        <v>Standard</v>
      </c>
      <c r="M6" t="s">
        <v>19</v>
      </c>
      <c r="N6" s="1">
        <v>0.1</v>
      </c>
    </row>
    <row r="7" spans="1:17" x14ac:dyDescent="0.3">
      <c r="A7">
        <v>1006</v>
      </c>
      <c r="B7" t="s">
        <v>20</v>
      </c>
      <c r="C7" t="s">
        <v>10</v>
      </c>
      <c r="D7" t="s">
        <v>8</v>
      </c>
      <c r="E7">
        <v>75000</v>
      </c>
      <c r="F7">
        <v>2</v>
      </c>
      <c r="G7">
        <f>Table1[[#This Row],[Unit_Price]]*Table1[[#This Row],[Quantity]]</f>
        <v>150000</v>
      </c>
      <c r="H7" s="1">
        <f>_xlfn.XLOOKUP(Table1[[#This Row],[Product]],$M$2:$M$6,$N$2:$N$6)</f>
        <v>0.08</v>
      </c>
      <c r="I7">
        <f>Table1[[#This Row],[Total_Revenue]]*Table1[[#This Row],[Commission_Rate]]</f>
        <v>12000</v>
      </c>
      <c r="J7" t="str">
        <f>IF(Table1[[#This Row],[Total_Revenue]]&gt;=100000,"High Value","Standard")</f>
        <v>High Value</v>
      </c>
    </row>
    <row r="8" spans="1:17" x14ac:dyDescent="0.3">
      <c r="A8">
        <v>1007</v>
      </c>
      <c r="B8" t="s">
        <v>21</v>
      </c>
      <c r="C8" t="s">
        <v>7</v>
      </c>
      <c r="D8" t="s">
        <v>11</v>
      </c>
      <c r="E8">
        <v>25000</v>
      </c>
      <c r="F8">
        <v>6</v>
      </c>
      <c r="G8">
        <f>Table1[[#This Row],[Unit_Price]]*Table1[[#This Row],[Quantity]]</f>
        <v>150000</v>
      </c>
      <c r="H8" s="1">
        <f>_xlfn.XLOOKUP(Table1[[#This Row],[Product]],$M$2:$M$6,$N$2:$N$6)</f>
        <v>0.05</v>
      </c>
      <c r="I8">
        <f>Table1[[#This Row],[Total_Revenue]]*Table1[[#This Row],[Commission_Rate]]</f>
        <v>7500</v>
      </c>
      <c r="J8" t="str">
        <f>IF(Table1[[#This Row],[Total_Revenue]]&gt;=100000,"High Value","Standard")</f>
        <v>High Value</v>
      </c>
    </row>
    <row r="9" spans="1:17" x14ac:dyDescent="0.3">
      <c r="A9">
        <v>1008</v>
      </c>
      <c r="B9" t="s">
        <v>22</v>
      </c>
      <c r="C9" t="s">
        <v>13</v>
      </c>
      <c r="D9" t="s">
        <v>17</v>
      </c>
      <c r="E9">
        <v>3000</v>
      </c>
      <c r="F9">
        <v>8</v>
      </c>
      <c r="G9">
        <f>Table1[[#This Row],[Unit_Price]]*Table1[[#This Row],[Quantity]]</f>
        <v>24000</v>
      </c>
      <c r="H9" s="1">
        <f>_xlfn.XLOOKUP(Table1[[#This Row],[Product]],$M$2:$M$6,$N$2:$N$6)</f>
        <v>0.12</v>
      </c>
      <c r="I9">
        <f>Table1[[#This Row],[Total_Revenue]]*Table1[[#This Row],[Commission_Rate]]</f>
        <v>2880</v>
      </c>
      <c r="J9" t="str">
        <f>IF(Table1[[#This Row],[Total_Revenue]]&gt;=100000,"High Value","Standard")</f>
        <v>Standard</v>
      </c>
    </row>
  </sheetData>
  <conditionalFormatting sqref="J2:J9">
    <cfRule type="containsText" dxfId="0" priority="1" operator="containsText" text="High Value">
      <formula>NOT(ISERROR(SEARCH("High Value",J2)))</formula>
    </cfRule>
  </conditionalFormatting>
  <dataValidations count="1">
    <dataValidation type="list" allowBlank="1" showInputMessage="1" showErrorMessage="1" sqref="Q1" xr:uid="{581C2F7A-B1C5-43B8-A2B9-17DBF41A2878}">
      <formula1>"North, South, East, West"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poop poop</cp:lastModifiedBy>
  <dcterms:created xsi:type="dcterms:W3CDTF">2026-10-17T10:21:30Z</dcterms:created>
  <dcterms:modified xsi:type="dcterms:W3CDTF">2026-10-17T13:01:24Z</dcterms:modified>
</cp:coreProperties>
</file>